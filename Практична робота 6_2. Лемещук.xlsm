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https://universityks-my.sharepoint.com/personal/viktoriia_lemeshchuk_university_ks_ua/Documents/Загальна методика навчання ІТ/Брак/"/>
    </mc:Choice>
  </mc:AlternateContent>
  <xr:revisionPtr revIDLastSave="74" documentId="11_FFB4977D0D07AA3FACFF0696B3D13EE7E8ADF35E" xr6:coauthVersionLast="47" xr6:coauthVersionMax="47" xr10:uidLastSave="{D79C5E2F-D2B7-4176-B6CF-7C5CA736ADBC}"/>
  <bookViews>
    <workbookView xWindow="-108" yWindow="-108" windowWidth="23256" windowHeight="12456" tabRatio="752" xr2:uid="{00000000-000D-0000-FFFF-FFFF00000000}"/>
  </bookViews>
  <sheets>
    <sheet name="Смета" sheetId="1" r:id="rId1"/>
    <sheet name="Процесори" sheetId="2" r:id="rId2"/>
    <sheet name="Пам'ять" sheetId="4" r:id="rId3"/>
    <sheet name="Вінчестери" sheetId="3" r:id="rId4"/>
    <sheet name="Монітори" sheetId="14" r:id="rId5"/>
    <sheet name="Завдання 2" sheetId="1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" l="1"/>
  <c r="B9" i="1"/>
  <c r="C9" i="1"/>
  <c r="B7" i="1"/>
  <c r="C7" i="1"/>
  <c r="B11" i="1"/>
  <c r="B5" i="1"/>
  <c r="B13" i="1" s="1"/>
  <c r="B3" i="1"/>
  <c r="B15" i="1" l="1"/>
  <c r="B19" i="1" s="1"/>
  <c r="C19" i="1" s="1"/>
</calcChain>
</file>

<file path=xl/sharedStrings.xml><?xml version="1.0" encoding="utf-8"?>
<sst xmlns="http://schemas.openxmlformats.org/spreadsheetml/2006/main" count="61" uniqueCount="55">
  <si>
    <t>Тип</t>
  </si>
  <si>
    <t>Celeron E120</t>
  </si>
  <si>
    <t>Pentium E2200</t>
  </si>
  <si>
    <t>Core 2 Duo E8400</t>
  </si>
  <si>
    <t>Athlon 64 X2 4400+</t>
  </si>
  <si>
    <t>Athlon 64 X2 5600+</t>
  </si>
  <si>
    <t>17" Samsung 720N</t>
  </si>
  <si>
    <t>19" Acer X193Ws</t>
  </si>
  <si>
    <t>17" Viewsonic VA703b</t>
  </si>
  <si>
    <t>19" Flatron W1934S</t>
  </si>
  <si>
    <t>Дата</t>
  </si>
  <si>
    <t>Доставка</t>
  </si>
  <si>
    <t>Обсяг ремонтних робіт, %</t>
  </si>
  <si>
    <t>Грудень</t>
  </si>
  <si>
    <t>Судно_1</t>
  </si>
  <si>
    <t>Максимальний обсяг ремонтних робіт за місяць</t>
  </si>
  <si>
    <t>Назва судна, на якому був виконаний максимальний обсяг ремонтних робіт за місяць</t>
  </si>
  <si>
    <t>Процесор</t>
  </si>
  <si>
    <t>Пам'ять</t>
  </si>
  <si>
    <t>Монітор</t>
  </si>
  <si>
    <t>Сума</t>
  </si>
  <si>
    <t>Гарантія</t>
  </si>
  <si>
    <t>Разом</t>
  </si>
  <si>
    <r>
      <t>Дані аркуша</t>
    </r>
    <r>
      <rPr>
        <sz val="12"/>
        <rFont val="Times New Roman"/>
        <family val="1"/>
        <charset val="204"/>
      </rPr>
      <t xml:space="preserve"> </t>
    </r>
    <r>
      <rPr>
        <b/>
        <sz val="12"/>
        <rFont val="Times New Roman"/>
        <family val="1"/>
        <charset val="204"/>
      </rPr>
      <t>Монітори</t>
    </r>
  </si>
  <si>
    <t>Ціна, $</t>
  </si>
  <si>
    <t>19" Samsung 920А</t>
  </si>
  <si>
    <t>17" Lenovo A10</t>
  </si>
  <si>
    <r>
      <t>Дані аркуша</t>
    </r>
    <r>
      <rPr>
        <sz val="12"/>
        <rFont val="Times New Roman"/>
        <family val="1"/>
        <charset val="204"/>
      </rPr>
      <t xml:space="preserve"> </t>
    </r>
    <r>
      <rPr>
        <b/>
        <sz val="12"/>
        <rFont val="Times New Roman"/>
        <family val="1"/>
        <charset val="204"/>
      </rPr>
      <t>Вінчестери</t>
    </r>
  </si>
  <si>
    <t>Обсяг</t>
  </si>
  <si>
    <t>8 Мб</t>
  </si>
  <si>
    <t>16 Мб</t>
  </si>
  <si>
    <t>32 Мб</t>
  </si>
  <si>
    <t>64 Мб</t>
  </si>
  <si>
    <t>4 Гб</t>
  </si>
  <si>
    <t>8 Гб</t>
  </si>
  <si>
    <t>16 Гб</t>
  </si>
  <si>
    <t>32 Гб</t>
  </si>
  <si>
    <t>64 Гб</t>
  </si>
  <si>
    <r>
      <t>Дані аркуша</t>
    </r>
    <r>
      <rPr>
        <sz val="12"/>
        <rFont val="Times New Roman"/>
        <family val="1"/>
        <charset val="204"/>
      </rPr>
      <t xml:space="preserve"> </t>
    </r>
    <r>
      <rPr>
        <b/>
        <sz val="12"/>
        <rFont val="Times New Roman"/>
        <family val="1"/>
        <charset val="204"/>
      </rPr>
      <t>Пам'ять</t>
    </r>
  </si>
  <si>
    <t>Pentium Gold G6400</t>
  </si>
  <si>
    <t>Core i3-10100F</t>
  </si>
  <si>
    <t>Core i5-10400F</t>
  </si>
  <si>
    <t>AMD Ryzen 7 2700</t>
  </si>
  <si>
    <t>Core i7-9700KF</t>
  </si>
  <si>
    <t>Core i7-10700F</t>
  </si>
  <si>
    <t xml:space="preserve">AMD Ryzen 3 4100 </t>
  </si>
  <si>
    <t>AMD Ryzen 5 5500</t>
  </si>
  <si>
    <r>
      <t>Дані аркуша</t>
    </r>
    <r>
      <rPr>
        <sz val="12"/>
        <rFont val="Times New Roman"/>
        <family val="1"/>
        <charset val="204"/>
      </rPr>
      <t xml:space="preserve"> </t>
    </r>
    <r>
      <rPr>
        <b/>
        <sz val="12"/>
        <rFont val="Times New Roman"/>
        <family val="1"/>
        <charset val="204"/>
      </rPr>
      <t>Процесори</t>
    </r>
  </si>
  <si>
    <t>Збирання комп'ютера</t>
  </si>
  <si>
    <t xml:space="preserve">Вінчестер </t>
  </si>
  <si>
    <t>Курс долара</t>
  </si>
  <si>
    <t>Судно_2</t>
  </si>
  <si>
    <t>Судно_3</t>
  </si>
  <si>
    <t>Судно_4</t>
  </si>
  <si>
    <t>Судно_5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</si>
</sst>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&quot;₽&quot;_-;\-* #,##0.00\ &quot;₽&quot;_-;_-* &quot;-&quot;??\ &quot;₽&quot;_-;_-@_-"/>
    <numFmt numFmtId="165" formatCode="#,##0.00\ [$грн.-422]"/>
    <numFmt numFmtId="166" formatCode=";;;"/>
    <numFmt numFmtId="167" formatCode="[$$-409]#,##0.00"/>
    <numFmt numFmtId="168" formatCode="[$$-4809]#,##0.00"/>
    <numFmt numFmtId="169" formatCode="_-* #,##0.00\ [$₴-422]_-;\-* #,##0.00\ [$₴-422]_-;_-* &quot;-&quot;??\ [$₴-422]_-;_-@_-"/>
    <numFmt numFmtId="170" formatCode="[$-F400]h:mm:ss\ AM/PM"/>
  </numFmts>
  <fonts count="22" x14ac:knownFonts="1">
    <font>
      <sz val="10"/>
      <name val="Arial"/>
    </font>
    <font>
      <sz val="8"/>
      <name val="Arial"/>
      <family val="2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b/>
      <i/>
      <sz val="12"/>
      <name val="Times New Roman"/>
      <family val="1"/>
      <charset val="204"/>
    </font>
    <font>
      <u/>
      <sz val="12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b/>
      <sz val="15"/>
      <color indexed="54"/>
      <name val="Calibri"/>
      <family val="2"/>
      <charset val="204"/>
    </font>
    <font>
      <b/>
      <sz val="13"/>
      <color indexed="54"/>
      <name val="Calibri"/>
      <family val="2"/>
      <charset val="204"/>
    </font>
    <font>
      <b/>
      <sz val="11"/>
      <color indexed="54"/>
      <name val="Calibri"/>
      <family val="2"/>
      <charset val="204"/>
    </font>
    <font>
      <b/>
      <sz val="11"/>
      <color indexed="8"/>
      <name val="Calibri"/>
      <family val="2"/>
      <charset val="204"/>
    </font>
    <font>
      <sz val="1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4"/>
      <color indexed="8"/>
      <name val="Calibri"/>
      <family val="2"/>
      <charset val="204"/>
    </font>
    <font>
      <i/>
      <sz val="11"/>
      <color indexed="8"/>
      <name val="Calibri"/>
      <family val="2"/>
      <charset val="204"/>
    </font>
    <font>
      <b/>
      <sz val="10"/>
      <color indexed="8"/>
      <name val="Calibri"/>
      <family val="2"/>
      <charset val="204"/>
    </font>
    <font>
      <b/>
      <i/>
      <sz val="11"/>
      <color indexed="8"/>
      <name val="Calibri"/>
      <family val="2"/>
      <charset val="204"/>
    </font>
    <font>
      <sz val="10"/>
      <name val="Arial"/>
      <family val="2"/>
      <charset val="204"/>
    </font>
    <font>
      <b/>
      <sz val="11"/>
      <color theme="0"/>
      <name val="Calibri"/>
      <family val="2"/>
      <charset val="204"/>
    </font>
    <font>
      <sz val="8"/>
      <color rgb="FF000000"/>
      <name val="Segoe UI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3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8" borderId="0" applyNumberFormat="0" applyBorder="0" applyAlignment="0" applyProtection="0"/>
    <xf numFmtId="0" fontId="6" fillId="10" borderId="0" applyNumberFormat="0" applyBorder="0" applyAlignment="0" applyProtection="0"/>
    <xf numFmtId="0" fontId="7" fillId="8" borderId="0" applyNumberFormat="0" applyBorder="0" applyAlignment="0" applyProtection="0"/>
    <xf numFmtId="0" fontId="7" fillId="3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2" fillId="0" borderId="0"/>
    <xf numFmtId="164" fontId="19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4" fillId="0" borderId="4" xfId="0" applyFont="1" applyBorder="1" applyAlignment="1">
      <alignment horizontal="center"/>
    </xf>
    <xf numFmtId="0" fontId="2" fillId="0" borderId="4" xfId="0" applyFont="1" applyBorder="1"/>
    <xf numFmtId="166" fontId="2" fillId="0" borderId="0" xfId="0" applyNumberFormat="1" applyFont="1"/>
    <xf numFmtId="0" fontId="4" fillId="13" borderId="4" xfId="0" applyFont="1" applyFill="1" applyBorder="1" applyAlignment="1">
      <alignment horizontal="center"/>
    </xf>
    <xf numFmtId="0" fontId="2" fillId="13" borderId="4" xfId="0" applyFont="1" applyFill="1" applyBorder="1"/>
    <xf numFmtId="0" fontId="13" fillId="0" borderId="0" xfId="0" applyFont="1"/>
    <xf numFmtId="0" fontId="2" fillId="0" borderId="0" xfId="0" applyFont="1" applyAlignment="1">
      <alignment horizontal="center"/>
    </xf>
    <xf numFmtId="168" fontId="0" fillId="0" borderId="0" xfId="0" applyNumberFormat="1"/>
    <xf numFmtId="0" fontId="14" fillId="0" borderId="0" xfId="0" applyFont="1"/>
    <xf numFmtId="0" fontId="12" fillId="0" borderId="0" xfId="23"/>
    <xf numFmtId="0" fontId="4" fillId="0" borderId="4" xfId="23" applyFont="1" applyBorder="1" applyAlignment="1">
      <alignment horizontal="center"/>
    </xf>
    <xf numFmtId="0" fontId="2" fillId="0" borderId="4" xfId="23" applyFont="1" applyBorder="1"/>
    <xf numFmtId="0" fontId="0" fillId="18" borderId="4" xfId="0" applyFill="1" applyBorder="1" applyAlignment="1">
      <alignment horizontal="center" vertical="center"/>
    </xf>
    <xf numFmtId="0" fontId="11" fillId="18" borderId="4" xfId="0" applyFont="1" applyFill="1" applyBorder="1" applyAlignment="1">
      <alignment horizontal="center"/>
    </xf>
    <xf numFmtId="0" fontId="17" fillId="18" borderId="4" xfId="0" applyFont="1" applyFill="1" applyBorder="1" applyAlignment="1">
      <alignment horizontal="center" vertical="center" wrapText="1"/>
    </xf>
    <xf numFmtId="2" fontId="18" fillId="19" borderId="4" xfId="0" applyNumberFormat="1" applyFont="1" applyFill="1" applyBorder="1" applyAlignment="1">
      <alignment horizontal="center" vertical="center"/>
    </xf>
    <xf numFmtId="0" fontId="18" fillId="19" borderId="4" xfId="0" applyFont="1" applyFill="1" applyBorder="1" applyAlignment="1">
      <alignment horizontal="center" vertical="center"/>
    </xf>
    <xf numFmtId="0" fontId="12" fillId="0" borderId="4" xfId="23" applyBorder="1"/>
    <xf numFmtId="0" fontId="12" fillId="0" borderId="0" xfId="0" applyFont="1"/>
    <xf numFmtId="0" fontId="0" fillId="0" borderId="4" xfId="0" applyBorder="1"/>
    <xf numFmtId="0" fontId="0" fillId="0" borderId="4" xfId="0" applyBorder="1" applyAlignment="1">
      <alignment horizontal="center"/>
    </xf>
    <xf numFmtId="0" fontId="2" fillId="13" borderId="6" xfId="0" applyFont="1" applyFill="1" applyBorder="1"/>
    <xf numFmtId="0" fontId="2" fillId="20" borderId="0" xfId="0" applyFont="1" applyFill="1"/>
    <xf numFmtId="0" fontId="2" fillId="21" borderId="4" xfId="0" applyFont="1" applyFill="1" applyBorder="1"/>
    <xf numFmtId="14" fontId="2" fillId="21" borderId="4" xfId="0" applyNumberFormat="1" applyFont="1" applyFill="1" applyBorder="1"/>
    <xf numFmtId="0" fontId="2" fillId="22" borderId="4" xfId="0" applyFont="1" applyFill="1" applyBorder="1"/>
    <xf numFmtId="167" fontId="2" fillId="0" borderId="4" xfId="0" applyNumberFormat="1" applyFont="1" applyBorder="1"/>
    <xf numFmtId="167" fontId="2" fillId="22" borderId="4" xfId="0" applyNumberFormat="1" applyFont="1" applyFill="1" applyBorder="1"/>
    <xf numFmtId="165" fontId="2" fillId="22" borderId="4" xfId="0" applyNumberFormat="1" applyFont="1" applyFill="1" applyBorder="1"/>
    <xf numFmtId="167" fontId="2" fillId="0" borderId="8" xfId="0" applyNumberFormat="1" applyFont="1" applyBorder="1"/>
    <xf numFmtId="0" fontId="2" fillId="0" borderId="4" xfId="0" applyFont="1" applyBorder="1" applyAlignment="1">
      <alignment horizontal="center"/>
    </xf>
    <xf numFmtId="169" fontId="2" fillId="21" borderId="4" xfId="24" applyNumberFormat="1" applyFont="1" applyFill="1" applyBorder="1"/>
    <xf numFmtId="170" fontId="11" fillId="18" borderId="4" xfId="0" applyNumberFormat="1" applyFont="1" applyFill="1" applyBorder="1" applyAlignment="1">
      <alignment horizontal="center" vertical="center"/>
    </xf>
    <xf numFmtId="170" fontId="11" fillId="18" borderId="8" xfId="0" applyNumberFormat="1" applyFont="1" applyFill="1" applyBorder="1" applyAlignment="1">
      <alignment horizontal="center" vertical="center"/>
    </xf>
    <xf numFmtId="1" fontId="16" fillId="0" borderId="4" xfId="0" applyNumberFormat="1" applyFont="1" applyBorder="1" applyAlignment="1">
      <alignment horizontal="center"/>
    </xf>
    <xf numFmtId="1" fontId="16" fillId="0" borderId="8" xfId="0" applyNumberFormat="1" applyFont="1" applyBorder="1" applyAlignment="1">
      <alignment horizontal="center"/>
    </xf>
    <xf numFmtId="0" fontId="20" fillId="23" borderId="0" xfId="0" applyFont="1" applyFill="1" applyAlignment="1">
      <alignment horizontal="center"/>
    </xf>
    <xf numFmtId="0" fontId="3" fillId="20" borderId="0" xfId="0" applyFont="1" applyFill="1" applyAlignment="1">
      <alignment horizontal="center"/>
    </xf>
    <xf numFmtId="0" fontId="5" fillId="14" borderId="0" xfId="0" applyFont="1" applyFill="1" applyAlignment="1">
      <alignment horizontal="center"/>
    </xf>
    <xf numFmtId="0" fontId="5" fillId="14" borderId="7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7" xfId="0" applyFont="1" applyFill="1" applyBorder="1" applyAlignment="1">
      <alignment horizontal="center"/>
    </xf>
    <xf numFmtId="0" fontId="5" fillId="16" borderId="0" xfId="0" applyFont="1" applyFill="1" applyAlignment="1">
      <alignment horizontal="center"/>
    </xf>
    <xf numFmtId="0" fontId="5" fillId="16" borderId="7" xfId="0" applyFont="1" applyFill="1" applyBorder="1" applyAlignment="1">
      <alignment horizontal="center"/>
    </xf>
    <xf numFmtId="0" fontId="5" fillId="17" borderId="0" xfId="23" applyFont="1" applyFill="1" applyAlignment="1">
      <alignment horizontal="center"/>
    </xf>
    <xf numFmtId="0" fontId="5" fillId="17" borderId="7" xfId="23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</cellXfs>
  <cellStyles count="25">
    <cellStyle name="20% — акцент1" xfId="1" xr:uid="{00000000-0005-0000-0000-000000000000}"/>
    <cellStyle name="20% — акцент2" xfId="2" xr:uid="{00000000-0005-0000-0000-000001000000}"/>
    <cellStyle name="20% — акцент3" xfId="3" xr:uid="{00000000-0005-0000-0000-000002000000}"/>
    <cellStyle name="20% — акцент4" xfId="4" xr:uid="{00000000-0005-0000-0000-000003000000}"/>
    <cellStyle name="20% — акцент5" xfId="5" xr:uid="{00000000-0005-0000-0000-000004000000}"/>
    <cellStyle name="20% — акцент6" xfId="6" xr:uid="{00000000-0005-0000-0000-000005000000}"/>
    <cellStyle name="40% — акцент1" xfId="7" xr:uid="{00000000-0005-0000-0000-000006000000}"/>
    <cellStyle name="40% — акцент2" xfId="8" xr:uid="{00000000-0005-0000-0000-000007000000}"/>
    <cellStyle name="40% — акцент3" xfId="9" xr:uid="{00000000-0005-0000-0000-000008000000}"/>
    <cellStyle name="40% — акцент4" xfId="10" xr:uid="{00000000-0005-0000-0000-000009000000}"/>
    <cellStyle name="40% — акцент5" xfId="11" xr:uid="{00000000-0005-0000-0000-00000A000000}"/>
    <cellStyle name="40% — акцент6" xfId="12" xr:uid="{00000000-0005-0000-0000-00000B000000}"/>
    <cellStyle name="60% — акцент1" xfId="13" xr:uid="{00000000-0005-0000-0000-00000C000000}"/>
    <cellStyle name="60% — акцент2" xfId="14" xr:uid="{00000000-0005-0000-0000-00000D000000}"/>
    <cellStyle name="60% — акцент3" xfId="15" xr:uid="{00000000-0005-0000-0000-00000E000000}"/>
    <cellStyle name="60% — акцент4" xfId="16" xr:uid="{00000000-0005-0000-0000-00000F000000}"/>
    <cellStyle name="60% — акцент5" xfId="17" xr:uid="{00000000-0005-0000-0000-000010000000}"/>
    <cellStyle name="60% — акцент6" xfId="18" xr:uid="{00000000-0005-0000-0000-000011000000}"/>
    <cellStyle name="Грошовий" xfId="24" builtinId="4"/>
    <cellStyle name="Заголовок 1" xfId="19" builtinId="16" customBuiltin="1"/>
    <cellStyle name="Заголовок 2" xfId="20" builtinId="17" customBuiltin="1"/>
    <cellStyle name="Заголовок 3" xfId="21" builtinId="18" customBuiltin="1"/>
    <cellStyle name="Заголовок 4" xfId="22" builtinId="19" customBuiltin="1"/>
    <cellStyle name="Звичайний" xfId="0" builtinId="0"/>
    <cellStyle name="Звичайний 2" xfId="23" xr:uid="{00000000-0005-0000-0000-00001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'Завдання 2'!$A$3</c:f>
              <c:strCache>
                <c:ptCount val="1"/>
                <c:pt idx="0">
                  <c:v>Судно_1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'Завдання 2'!$B$2:$H$2</c:f>
              <c:strCache>
                <c:ptCount val="1"/>
                <c:pt idx="0">
                  <c:v>Грудень</c:v>
                </c:pt>
              </c:strCache>
            </c:strRef>
          </c:cat>
          <c:val>
            <c:numRef>
              <c:f>'Завдання 2'!$B$3:$H$3</c:f>
              <c:numCache>
                <c:formatCode>0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AF-4866-BA2A-5B910CEF8E4A}"/>
            </c:ext>
          </c:extLst>
        </c:ser>
        <c:ser>
          <c:idx val="1"/>
          <c:order val="1"/>
          <c:tx>
            <c:strRef>
              <c:f>'Завдання 2'!$A$4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'Завдання 2'!$B$2:$H$2</c:f>
              <c:strCache>
                <c:ptCount val="1"/>
                <c:pt idx="0">
                  <c:v>Грудень</c:v>
                </c:pt>
              </c:strCache>
            </c:strRef>
          </c:cat>
          <c:val>
            <c:numRef>
              <c:f>'Завдання 2'!$B$4:$H$4</c:f>
              <c:numCache>
                <c:formatCode>0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AF-4866-BA2A-5B910CEF8E4A}"/>
            </c:ext>
          </c:extLst>
        </c:ser>
        <c:ser>
          <c:idx val="2"/>
          <c:order val="2"/>
          <c:tx>
            <c:strRef>
              <c:f>'Завдання 2'!$A$5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'Завдання 2'!$B$2:$H$2</c:f>
              <c:strCache>
                <c:ptCount val="1"/>
                <c:pt idx="0">
                  <c:v>Грудень</c:v>
                </c:pt>
              </c:strCache>
            </c:strRef>
          </c:cat>
          <c:val>
            <c:numRef>
              <c:f>'Завдання 2'!$B$5:$H$5</c:f>
              <c:numCache>
                <c:formatCode>0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AF-4866-BA2A-5B910CEF8E4A}"/>
            </c:ext>
          </c:extLst>
        </c:ser>
        <c:ser>
          <c:idx val="3"/>
          <c:order val="3"/>
          <c:tx>
            <c:strRef>
              <c:f>'Завдання 2'!$A$6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strRef>
              <c:f>'Завдання 2'!$B$2:$H$2</c:f>
              <c:strCache>
                <c:ptCount val="1"/>
                <c:pt idx="0">
                  <c:v>Грудень</c:v>
                </c:pt>
              </c:strCache>
            </c:strRef>
          </c:cat>
          <c:val>
            <c:numRef>
              <c:f>'Завдання 2'!$B$6:$H$6</c:f>
              <c:numCache>
                <c:formatCode>0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AF-4866-BA2A-5B910CEF8E4A}"/>
            </c:ext>
          </c:extLst>
        </c:ser>
        <c:ser>
          <c:idx val="4"/>
          <c:order val="4"/>
          <c:tx>
            <c:strRef>
              <c:f>'Завдання 2'!$A$7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strRef>
              <c:f>'Завдання 2'!$B$2:$H$2</c:f>
              <c:strCache>
                <c:ptCount val="1"/>
                <c:pt idx="0">
                  <c:v>Грудень</c:v>
                </c:pt>
              </c:strCache>
            </c:strRef>
          </c:cat>
          <c:val>
            <c:numRef>
              <c:f>'Завдання 2'!$B$7:$H$7</c:f>
              <c:numCache>
                <c:formatCode>0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AF-4866-BA2A-5B910CEF8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286848"/>
        <c:axId val="1356285600"/>
        <c:axId val="1070245152"/>
      </c:line3DChart>
      <c:catAx>
        <c:axId val="135628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6285600"/>
        <c:crosses val="autoZero"/>
        <c:auto val="1"/>
        <c:lblAlgn val="ctr"/>
        <c:lblOffset val="100"/>
        <c:noMultiLvlLbl val="0"/>
      </c:catAx>
      <c:valAx>
        <c:axId val="135628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6286848"/>
        <c:crosses val="autoZero"/>
        <c:crossBetween val="between"/>
      </c:valAx>
      <c:serAx>
        <c:axId val="10702451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628560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0" fmlaLink="$E$5" fmlaRange="Процесори!$B$3:$B$15" noThreeD="1" sel="8" val="5"/>
</file>

<file path=xl/ctrlProps/ctrlProp2.xml><?xml version="1.0" encoding="utf-8"?>
<formControlPr xmlns="http://schemas.microsoft.com/office/spreadsheetml/2009/9/main" objectType="Drop" dropStyle="combo" dx="20" fmlaLink="$E$11" fmlaRange="Монітори!$B$3:$B$8" noThreeD="1" sel="1" val="0"/>
</file>

<file path=xl/ctrlProps/ctrlProp3.xml><?xml version="1.0" encoding="utf-8"?>
<formControlPr xmlns="http://schemas.microsoft.com/office/spreadsheetml/2009/9/main" objectType="Spin" dx="26" fmlaLink="$E$7" max="5" page="10" val="5"/>
</file>

<file path=xl/ctrlProps/ctrlProp4.xml><?xml version="1.0" encoding="utf-8"?>
<formControlPr xmlns="http://schemas.microsoft.com/office/spreadsheetml/2009/9/main" objectType="Spin" dx="26" fmlaLink="$E$9" max="4" page="10"/>
</file>

<file path=xl/ctrlProps/ctrlProp5.xml><?xml version="1.0" encoding="utf-8"?>
<formControlPr xmlns="http://schemas.microsoft.com/office/spreadsheetml/2009/9/main" objectType="Radio" firstButton="1" fmlaLink="$E$1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CheckBox" checked="Checked" fmlaLink="$E$17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190500</xdr:rowOff>
        </xdr:from>
        <xdr:to>
          <xdr:col>3</xdr:col>
          <xdr:colOff>0</xdr:colOff>
          <xdr:row>5</xdr:row>
          <xdr:rowOff>7620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906780</xdr:colOff>
          <xdr:row>10</xdr:row>
          <xdr:rowOff>7620</xdr:rowOff>
        </xdr:from>
        <xdr:to>
          <xdr:col>3</xdr:col>
          <xdr:colOff>15240</xdr:colOff>
          <xdr:row>11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6</xdr:row>
          <xdr:rowOff>15240</xdr:rowOff>
        </xdr:from>
        <xdr:to>
          <xdr:col>2</xdr:col>
          <xdr:colOff>1150620</xdr:colOff>
          <xdr:row>6</xdr:row>
          <xdr:rowOff>182880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13</xdr:row>
          <xdr:rowOff>190500</xdr:rowOff>
        </xdr:from>
        <xdr:to>
          <xdr:col>2</xdr:col>
          <xdr:colOff>601980</xdr:colOff>
          <xdr:row>15</xdr:row>
          <xdr:rowOff>7620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uk-U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 міс.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13</xdr:row>
          <xdr:rowOff>175260</xdr:rowOff>
        </xdr:from>
        <xdr:to>
          <xdr:col>3</xdr:col>
          <xdr:colOff>22860</xdr:colOff>
          <xdr:row>15</xdr:row>
          <xdr:rowOff>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uk-U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12 міс.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190500</xdr:rowOff>
        </xdr:from>
        <xdr:to>
          <xdr:col>2</xdr:col>
          <xdr:colOff>678180</xdr:colOff>
          <xdr:row>17</xdr:row>
          <xdr:rowOff>15240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18826</xdr:colOff>
      <xdr:row>1</xdr:row>
      <xdr:rowOff>4929</xdr:rowOff>
    </xdr:from>
    <xdr:to>
      <xdr:col>12</xdr:col>
      <xdr:colOff>239626</xdr:colOff>
      <xdr:row>3</xdr:row>
      <xdr:rowOff>150340</xdr:rowOff>
    </xdr:to>
    <xdr:sp macro="[0]!Заповнити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8266355" y="238011"/>
          <a:ext cx="1440000" cy="504000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latin typeface="Courier New" panose="02070309020205020404" pitchFamily="49" charset="0"/>
              <a:cs typeface="Courier New" panose="02070309020205020404" pitchFamily="49" charset="0"/>
            </a:rPr>
            <a:t>Заповнити</a:t>
          </a:r>
          <a:r>
            <a:rPr lang="ru-RU" sz="1100"/>
            <a:t> </a:t>
          </a:r>
          <a:r>
            <a:rPr lang="ru-RU" sz="1400">
              <a:latin typeface="Courier New" panose="02070309020205020404" pitchFamily="49" charset="0"/>
              <a:cs typeface="Courier New" panose="02070309020205020404" pitchFamily="49" charset="0"/>
            </a:rPr>
            <a:t>таблицю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17927</xdr:colOff>
      <xdr:row>4</xdr:row>
      <xdr:rowOff>98611</xdr:rowOff>
    </xdr:from>
    <xdr:to>
      <xdr:col>12</xdr:col>
      <xdr:colOff>238727</xdr:colOff>
      <xdr:row>6</xdr:row>
      <xdr:rowOff>100023</xdr:rowOff>
    </xdr:to>
    <xdr:sp macro="[0]!Очистити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265456" y="869576"/>
          <a:ext cx="1440000" cy="360000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latin typeface="Courier New" panose="02070309020205020404" pitchFamily="49" charset="0"/>
              <a:cs typeface="Courier New" panose="02070309020205020404" pitchFamily="49" charset="0"/>
            </a:rPr>
            <a:t>Очистити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8965</xdr:colOff>
      <xdr:row>7</xdr:row>
      <xdr:rowOff>62752</xdr:rowOff>
    </xdr:from>
    <xdr:to>
      <xdr:col>12</xdr:col>
      <xdr:colOff>229765</xdr:colOff>
      <xdr:row>8</xdr:row>
      <xdr:rowOff>1411</xdr:rowOff>
    </xdr:to>
    <xdr:sp macro="[0]!макс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8256494" y="1371599"/>
          <a:ext cx="1440000" cy="360000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latin typeface="Courier New" panose="02070309020205020404" pitchFamily="49" charset="0"/>
              <a:cs typeface="Courier New" panose="02070309020205020404" pitchFamily="49" charset="0"/>
            </a:rPr>
            <a:t>Максимум</a:t>
          </a:r>
        </a:p>
      </xdr:txBody>
    </xdr:sp>
    <xdr:clientData/>
  </xdr:twoCellAnchor>
  <xdr:twoCellAnchor>
    <xdr:from>
      <xdr:col>10</xdr:col>
      <xdr:colOff>8965</xdr:colOff>
      <xdr:row>8</xdr:row>
      <xdr:rowOff>134468</xdr:rowOff>
    </xdr:from>
    <xdr:to>
      <xdr:col>12</xdr:col>
      <xdr:colOff>229765</xdr:colOff>
      <xdr:row>8</xdr:row>
      <xdr:rowOff>494468</xdr:rowOff>
    </xdr:to>
    <xdr:sp macro="[0]!Судно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8256494" y="1864656"/>
          <a:ext cx="1440000" cy="360000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latin typeface="Courier New" panose="02070309020205020404" pitchFamily="49" charset="0"/>
              <a:cs typeface="Courier New" panose="02070309020205020404" pitchFamily="49" charset="0"/>
            </a:rPr>
            <a:t>Назва</a:t>
          </a:r>
          <a:r>
            <a:rPr lang="ru-RU" sz="1400" baseline="0">
              <a:latin typeface="Courier New" panose="02070309020205020404" pitchFamily="49" charset="0"/>
              <a:cs typeface="Courier New" panose="02070309020205020404" pitchFamily="49" charset="0"/>
            </a:rPr>
            <a:t> судна</a:t>
          </a:r>
          <a:endParaRPr lang="ru-RU" sz="14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0</xdr:colOff>
      <xdr:row>9</xdr:row>
      <xdr:rowOff>89646</xdr:rowOff>
    </xdr:from>
    <xdr:to>
      <xdr:col>12</xdr:col>
      <xdr:colOff>220800</xdr:colOff>
      <xdr:row>11</xdr:row>
      <xdr:rowOff>108987</xdr:rowOff>
    </xdr:to>
    <xdr:sp macro="[0]!Діаграма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8247529" y="2348752"/>
          <a:ext cx="1440000" cy="360000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latin typeface="Courier New" panose="02070309020205020404" pitchFamily="49" charset="0"/>
              <a:cs typeface="Courier New" panose="02070309020205020404" pitchFamily="49" charset="0"/>
            </a:rPr>
            <a:t>Діаграма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0</xdr:col>
      <xdr:colOff>295387</xdr:colOff>
      <xdr:row>11</xdr:row>
      <xdr:rowOff>67683</xdr:rowOff>
    </xdr:from>
    <xdr:to>
      <xdr:col>4</xdr:col>
      <xdr:colOff>710452</xdr:colOff>
      <xdr:row>27</xdr:row>
      <xdr:rowOff>120575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indexed="10"/>
  </sheetPr>
  <dimension ref="A1:I19"/>
  <sheetViews>
    <sheetView tabSelected="1" zoomScaleNormal="100" workbookViewId="0">
      <selection sqref="A1:XFD1048576"/>
    </sheetView>
  </sheetViews>
  <sheetFormatPr defaultRowHeight="13.2" x14ac:dyDescent="0.25"/>
  <cols>
    <col min="1" max="1" width="18.33203125" bestFit="1" customWidth="1"/>
    <col min="2" max="2" width="13.33203125" customWidth="1"/>
    <col min="3" max="3" width="16.88671875" customWidth="1"/>
    <col min="4" max="4" width="14" customWidth="1"/>
  </cols>
  <sheetData>
    <row r="1" spans="1:9" ht="15.6" x14ac:dyDescent="0.3">
      <c r="A1" s="39" t="s">
        <v>48</v>
      </c>
      <c r="B1" s="39"/>
      <c r="C1" s="39"/>
      <c r="D1" s="1"/>
    </row>
    <row r="2" spans="1:9" ht="15.6" x14ac:dyDescent="0.3">
      <c r="A2" s="1"/>
      <c r="B2" s="1"/>
      <c r="C2" s="1"/>
      <c r="D2" s="1"/>
    </row>
    <row r="3" spans="1:9" ht="15.6" x14ac:dyDescent="0.3">
      <c r="A3" s="25" t="s">
        <v>10</v>
      </c>
      <c r="B3" s="26">
        <f ca="1">TODAY()</f>
        <v>45798</v>
      </c>
      <c r="C3" s="25" t="s">
        <v>50</v>
      </c>
      <c r="D3" s="33">
        <v>41.26</v>
      </c>
    </row>
    <row r="4" spans="1:9" ht="15.6" x14ac:dyDescent="0.3">
      <c r="A4" s="1"/>
      <c r="B4" s="1"/>
      <c r="C4" s="1"/>
      <c r="D4" s="1"/>
    </row>
    <row r="5" spans="1:9" ht="15.6" x14ac:dyDescent="0.3">
      <c r="A5" s="24" t="s">
        <v>17</v>
      </c>
      <c r="B5" s="31">
        <f>INDEX(Процесори!C3:C15,Смета!E5)</f>
        <v>280</v>
      </c>
      <c r="C5" s="3"/>
      <c r="D5" s="1"/>
      <c r="E5" s="7">
        <v>8</v>
      </c>
      <c r="H5" s="9"/>
      <c r="I5" s="7"/>
    </row>
    <row r="6" spans="1:9" ht="15.6" x14ac:dyDescent="0.3">
      <c r="A6" s="1"/>
      <c r="B6" s="1"/>
      <c r="C6" s="1"/>
      <c r="D6" s="1"/>
      <c r="E6" s="7"/>
      <c r="I6" s="7"/>
    </row>
    <row r="7" spans="1:9" ht="15.6" x14ac:dyDescent="0.3">
      <c r="A7" s="24" t="s">
        <v>18</v>
      </c>
      <c r="B7" s="31">
        <f>INDEX('Пам''ять'!C3:C7,Смета!E7)</f>
        <v>60</v>
      </c>
      <c r="C7" s="32" t="str">
        <f>INDEX('Пам''ять'!B3:B7,Смета!E7)</f>
        <v>64 Гб</v>
      </c>
      <c r="D7" s="1"/>
      <c r="E7" s="7">
        <v>5</v>
      </c>
      <c r="H7" s="9"/>
      <c r="I7" s="10"/>
    </row>
    <row r="8" spans="1:9" ht="15.6" x14ac:dyDescent="0.3">
      <c r="A8" s="1"/>
      <c r="B8" s="1"/>
      <c r="C8" s="8"/>
      <c r="D8" s="1"/>
      <c r="E8" s="7"/>
      <c r="I8" s="7"/>
    </row>
    <row r="9" spans="1:9" ht="15.6" x14ac:dyDescent="0.3">
      <c r="A9" s="24" t="s">
        <v>49</v>
      </c>
      <c r="B9" s="28">
        <f>INDEX(Вінчестери!C3:C6,Смета!E9)</f>
        <v>60</v>
      </c>
      <c r="C9" s="32" t="str">
        <f>INDEX(Вінчестери!B3:B6,Смета!E9)</f>
        <v>8 Мб</v>
      </c>
      <c r="D9" s="1"/>
      <c r="E9" s="7">
        <v>1</v>
      </c>
      <c r="I9" s="7"/>
    </row>
    <row r="10" spans="1:9" ht="15.6" x14ac:dyDescent="0.3">
      <c r="A10" s="1"/>
      <c r="B10" s="1"/>
      <c r="C10" s="1"/>
      <c r="D10" s="1"/>
      <c r="E10" s="7"/>
    </row>
    <row r="11" spans="1:9" ht="15.6" x14ac:dyDescent="0.3">
      <c r="A11" s="24" t="s">
        <v>19</v>
      </c>
      <c r="B11" s="28">
        <f>INDEX(Монітори!C3:C8,Смета!E11)</f>
        <v>190</v>
      </c>
      <c r="C11" s="3"/>
      <c r="D11" s="1"/>
      <c r="E11" s="7">
        <v>1</v>
      </c>
    </row>
    <row r="12" spans="1:9" ht="15.6" x14ac:dyDescent="0.3">
      <c r="A12" s="1"/>
      <c r="B12" s="1"/>
      <c r="C12" s="1"/>
      <c r="D12" s="1"/>
      <c r="E12" s="7"/>
    </row>
    <row r="13" spans="1:9" ht="15.6" x14ac:dyDescent="0.3">
      <c r="A13" s="24" t="s">
        <v>20</v>
      </c>
      <c r="B13" s="28">
        <f>SUM(B5:B11)</f>
        <v>590</v>
      </c>
      <c r="C13" s="3"/>
      <c r="D13" s="1"/>
      <c r="E13" s="7"/>
    </row>
    <row r="14" spans="1:9" ht="15.6" x14ac:dyDescent="0.3">
      <c r="A14" s="1"/>
      <c r="B14" s="1"/>
      <c r="C14" s="1"/>
      <c r="D14" s="1"/>
      <c r="E14" s="7"/>
    </row>
    <row r="15" spans="1:9" ht="15.6" x14ac:dyDescent="0.3">
      <c r="A15" s="24" t="s">
        <v>21</v>
      </c>
      <c r="B15" s="28">
        <f>10%*B13*(E15-1)</f>
        <v>59</v>
      </c>
      <c r="C15" s="3"/>
      <c r="D15" s="4"/>
      <c r="E15" s="7">
        <v>2</v>
      </c>
    </row>
    <row r="16" spans="1:9" ht="15.6" x14ac:dyDescent="0.3">
      <c r="A16" s="1"/>
      <c r="B16" s="1"/>
      <c r="C16" s="1"/>
      <c r="D16" s="1"/>
      <c r="E16" s="7"/>
    </row>
    <row r="17" spans="1:5" ht="15.6" x14ac:dyDescent="0.3">
      <c r="A17" s="24" t="s">
        <v>11</v>
      </c>
      <c r="B17" s="28">
        <f>IF(E17=FALSE,0,50)</f>
        <v>50</v>
      </c>
      <c r="C17" s="3"/>
      <c r="D17" s="1"/>
      <c r="E17" s="7" t="b">
        <v>1</v>
      </c>
    </row>
    <row r="18" spans="1:5" ht="15.6" x14ac:dyDescent="0.3">
      <c r="A18" s="1"/>
      <c r="B18" s="1"/>
      <c r="C18" s="1"/>
      <c r="D18" s="1"/>
      <c r="E18" s="7"/>
    </row>
    <row r="19" spans="1:5" ht="15.6" x14ac:dyDescent="0.3">
      <c r="A19" s="27" t="s">
        <v>22</v>
      </c>
      <c r="B19" s="29">
        <f>SUM(B13:B17)</f>
        <v>699</v>
      </c>
      <c r="C19" s="30">
        <f>B19*D3</f>
        <v>28840.739999999998</v>
      </c>
      <c r="D19" s="1"/>
      <c r="E19" s="7"/>
    </row>
  </sheetData>
  <mergeCells count="1">
    <mergeCell ref="A1:C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0</xdr:colOff>
                    <xdr:row>3</xdr:row>
                    <xdr:rowOff>190500</xdr:rowOff>
                  </from>
                  <to>
                    <xdr:col>3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1</xdr:col>
                    <xdr:colOff>906780</xdr:colOff>
                    <xdr:row>10</xdr:row>
                    <xdr:rowOff>7620</xdr:rowOff>
                  </from>
                  <to>
                    <xdr:col>3</xdr:col>
                    <xdr:colOff>15240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pinner 3">
              <controlPr defaultSize="0" autoPict="0">
                <anchor moveWithCells="1" sizeWithCells="1">
                  <from>
                    <xdr:col>2</xdr:col>
                    <xdr:colOff>838200</xdr:colOff>
                    <xdr:row>6</xdr:row>
                    <xdr:rowOff>15240</xdr:rowOff>
                  </from>
                  <to>
                    <xdr:col>2</xdr:col>
                    <xdr:colOff>1150620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pinner 4">
              <controlPr defaultSize="0" autoPict="0">
                <anchor moveWithCells="1" sizeWithCells="1">
                  <from>
                    <xdr:col>2</xdr:col>
                    <xdr:colOff>838200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>
                <anchor moveWithCells="1">
                  <from>
                    <xdr:col>2</xdr:col>
                    <xdr:colOff>22860</xdr:colOff>
                    <xdr:row>13</xdr:row>
                    <xdr:rowOff>190500</xdr:rowOff>
                  </from>
                  <to>
                    <xdr:col>2</xdr:col>
                    <xdr:colOff>601980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 Button 6">
              <controlPr defaultSize="0" autoFill="0" autoLine="0" autoPict="0">
                <anchor moveWithCells="1">
                  <from>
                    <xdr:col>2</xdr:col>
                    <xdr:colOff>571500</xdr:colOff>
                    <xdr:row>13</xdr:row>
                    <xdr:rowOff>175260</xdr:rowOff>
                  </from>
                  <to>
                    <xdr:col>3</xdr:col>
                    <xdr:colOff>22860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2</xdr:col>
                    <xdr:colOff>45720</xdr:colOff>
                    <xdr:row>15</xdr:row>
                    <xdr:rowOff>190500</xdr:rowOff>
                  </from>
                  <to>
                    <xdr:col>2</xdr:col>
                    <xdr:colOff>678180</xdr:colOff>
                    <xdr:row>17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C15"/>
  <sheetViews>
    <sheetView zoomScaleNormal="100" workbookViewId="0">
      <selection activeCell="C3" sqref="C3"/>
    </sheetView>
  </sheetViews>
  <sheetFormatPr defaultRowHeight="13.2" x14ac:dyDescent="0.25"/>
  <cols>
    <col min="1" max="1" width="4.88671875" customWidth="1"/>
    <col min="2" max="2" width="24" customWidth="1"/>
  </cols>
  <sheetData>
    <row r="1" spans="1:3" ht="15.6" x14ac:dyDescent="0.3">
      <c r="A1" s="40" t="s">
        <v>47</v>
      </c>
      <c r="B1" s="40"/>
      <c r="C1" s="41"/>
    </row>
    <row r="2" spans="1:3" ht="16.2" x14ac:dyDescent="0.35">
      <c r="B2" s="2" t="s">
        <v>0</v>
      </c>
      <c r="C2" s="2" t="s">
        <v>24</v>
      </c>
    </row>
    <row r="3" spans="1:3" ht="15.6" x14ac:dyDescent="0.3">
      <c r="A3" s="22">
        <v>1</v>
      </c>
      <c r="B3" s="3" t="s">
        <v>1</v>
      </c>
      <c r="C3" s="3">
        <v>53</v>
      </c>
    </row>
    <row r="4" spans="1:3" ht="15.6" x14ac:dyDescent="0.3">
      <c r="A4" s="22">
        <v>2</v>
      </c>
      <c r="B4" s="3" t="s">
        <v>2</v>
      </c>
      <c r="C4" s="3">
        <v>84</v>
      </c>
    </row>
    <row r="5" spans="1:3" ht="15.6" x14ac:dyDescent="0.3">
      <c r="A5" s="22">
        <v>3</v>
      </c>
      <c r="B5" s="3" t="s">
        <v>39</v>
      </c>
      <c r="C5" s="3">
        <v>158</v>
      </c>
    </row>
    <row r="6" spans="1:3" ht="15.6" x14ac:dyDescent="0.3">
      <c r="A6" s="22">
        <v>4</v>
      </c>
      <c r="B6" s="3" t="s">
        <v>4</v>
      </c>
      <c r="C6" s="3">
        <v>78</v>
      </c>
    </row>
    <row r="7" spans="1:3" ht="15.6" x14ac:dyDescent="0.3">
      <c r="A7" s="22">
        <v>5</v>
      </c>
      <c r="B7" s="3" t="s">
        <v>5</v>
      </c>
      <c r="C7" s="3">
        <v>146</v>
      </c>
    </row>
    <row r="8" spans="1:3" ht="15.6" x14ac:dyDescent="0.3">
      <c r="A8" s="22">
        <v>6</v>
      </c>
      <c r="B8" s="3" t="s">
        <v>3</v>
      </c>
      <c r="C8" s="3">
        <v>183</v>
      </c>
    </row>
    <row r="9" spans="1:3" ht="15.6" x14ac:dyDescent="0.3">
      <c r="A9" s="22">
        <v>7</v>
      </c>
      <c r="B9" s="3" t="s">
        <v>40</v>
      </c>
      <c r="C9" s="3">
        <v>250</v>
      </c>
    </row>
    <row r="10" spans="1:3" ht="15.6" x14ac:dyDescent="0.3">
      <c r="A10" s="22">
        <v>8</v>
      </c>
      <c r="B10" s="3" t="s">
        <v>41</v>
      </c>
      <c r="C10" s="3">
        <v>280</v>
      </c>
    </row>
    <row r="11" spans="1:3" ht="15.6" x14ac:dyDescent="0.3">
      <c r="A11" s="22">
        <v>9</v>
      </c>
      <c r="B11" s="3" t="s">
        <v>43</v>
      </c>
      <c r="C11" s="3">
        <v>300</v>
      </c>
    </row>
    <row r="12" spans="1:3" ht="15.6" x14ac:dyDescent="0.3">
      <c r="A12" s="22">
        <v>10</v>
      </c>
      <c r="B12" s="3" t="s">
        <v>44</v>
      </c>
      <c r="C12" s="3">
        <v>310</v>
      </c>
    </row>
    <row r="13" spans="1:3" ht="15.6" x14ac:dyDescent="0.3">
      <c r="A13" s="22">
        <v>11</v>
      </c>
      <c r="B13" s="3" t="s">
        <v>45</v>
      </c>
      <c r="C13" s="3">
        <v>250</v>
      </c>
    </row>
    <row r="14" spans="1:3" ht="15.6" x14ac:dyDescent="0.3">
      <c r="A14" s="22">
        <v>12</v>
      </c>
      <c r="B14" s="3" t="s">
        <v>42</v>
      </c>
      <c r="C14" s="3">
        <v>290</v>
      </c>
    </row>
    <row r="15" spans="1:3" ht="15.6" x14ac:dyDescent="0.3">
      <c r="A15" s="22">
        <v>13</v>
      </c>
      <c r="B15" s="3" t="s">
        <v>46</v>
      </c>
      <c r="C15" s="3">
        <v>320</v>
      </c>
    </row>
  </sheetData>
  <mergeCells count="1">
    <mergeCell ref="A1:C1"/>
  </mergeCells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C7"/>
  <sheetViews>
    <sheetView workbookViewId="0">
      <selection activeCell="G20" sqref="G20"/>
    </sheetView>
  </sheetViews>
  <sheetFormatPr defaultRowHeight="13.2" x14ac:dyDescent="0.25"/>
  <cols>
    <col min="1" max="1" width="5.109375" customWidth="1"/>
    <col min="2" max="2" width="10.6640625" customWidth="1"/>
    <col min="3" max="3" width="13.88671875" customWidth="1"/>
  </cols>
  <sheetData>
    <row r="1" spans="1:3" ht="15.6" x14ac:dyDescent="0.3">
      <c r="A1" s="42" t="s">
        <v>38</v>
      </c>
      <c r="B1" s="42"/>
      <c r="C1" s="43"/>
    </row>
    <row r="2" spans="1:3" ht="16.2" x14ac:dyDescent="0.35">
      <c r="B2" s="5" t="s">
        <v>28</v>
      </c>
      <c r="C2" s="5" t="s">
        <v>24</v>
      </c>
    </row>
    <row r="3" spans="1:3" ht="15.6" x14ac:dyDescent="0.3">
      <c r="A3" s="22">
        <v>1</v>
      </c>
      <c r="B3" s="20" t="s">
        <v>33</v>
      </c>
      <c r="C3" s="6">
        <v>15</v>
      </c>
    </row>
    <row r="4" spans="1:3" ht="15.6" x14ac:dyDescent="0.3">
      <c r="A4" s="22">
        <v>2</v>
      </c>
      <c r="B4" s="23" t="s">
        <v>34</v>
      </c>
      <c r="C4" s="6">
        <v>20</v>
      </c>
    </row>
    <row r="5" spans="1:3" ht="15.6" x14ac:dyDescent="0.3">
      <c r="A5" s="22">
        <v>3</v>
      </c>
      <c r="B5" s="23" t="s">
        <v>35</v>
      </c>
      <c r="C5" s="21">
        <v>30</v>
      </c>
    </row>
    <row r="6" spans="1:3" ht="15.6" x14ac:dyDescent="0.3">
      <c r="A6" s="22">
        <v>4</v>
      </c>
      <c r="B6" s="23" t="s">
        <v>36</v>
      </c>
      <c r="C6" s="6">
        <v>40</v>
      </c>
    </row>
    <row r="7" spans="1:3" ht="15.6" x14ac:dyDescent="0.3">
      <c r="A7" s="22">
        <v>5</v>
      </c>
      <c r="B7" s="23" t="s">
        <v>37</v>
      </c>
      <c r="C7" s="6">
        <v>60</v>
      </c>
    </row>
  </sheetData>
  <mergeCells count="1">
    <mergeCell ref="A1:C1"/>
  </mergeCells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6"/>
  <sheetViews>
    <sheetView zoomScale="112" zoomScaleNormal="112" workbookViewId="0">
      <selection sqref="A1:C1"/>
    </sheetView>
  </sheetViews>
  <sheetFormatPr defaultRowHeight="13.2" x14ac:dyDescent="0.25"/>
  <cols>
    <col min="1" max="1" width="4.6640625" customWidth="1"/>
    <col min="3" max="3" width="18" customWidth="1"/>
  </cols>
  <sheetData>
    <row r="1" spans="1:3" ht="15.6" x14ac:dyDescent="0.3">
      <c r="A1" s="44" t="s">
        <v>27</v>
      </c>
      <c r="B1" s="44"/>
      <c r="C1" s="45"/>
    </row>
    <row r="2" spans="1:3" ht="16.2" x14ac:dyDescent="0.35">
      <c r="B2" s="5" t="s">
        <v>28</v>
      </c>
      <c r="C2" s="5" t="s">
        <v>24</v>
      </c>
    </row>
    <row r="3" spans="1:3" ht="15.6" x14ac:dyDescent="0.3">
      <c r="A3" s="22">
        <v>1</v>
      </c>
      <c r="B3" s="6" t="s">
        <v>29</v>
      </c>
      <c r="C3" s="6">
        <v>60</v>
      </c>
    </row>
    <row r="4" spans="1:3" ht="15.6" x14ac:dyDescent="0.3">
      <c r="A4" s="22">
        <v>2</v>
      </c>
      <c r="B4" s="6" t="s">
        <v>30</v>
      </c>
      <c r="C4" s="6">
        <v>100</v>
      </c>
    </row>
    <row r="5" spans="1:3" ht="15.6" x14ac:dyDescent="0.3">
      <c r="A5" s="22">
        <v>3</v>
      </c>
      <c r="B5" s="6" t="s">
        <v>31</v>
      </c>
      <c r="C5" s="6">
        <v>110</v>
      </c>
    </row>
    <row r="6" spans="1:3" ht="15.6" x14ac:dyDescent="0.3">
      <c r="A6" s="22">
        <v>4</v>
      </c>
      <c r="B6" s="6" t="s">
        <v>32</v>
      </c>
      <c r="C6" s="6">
        <v>130</v>
      </c>
    </row>
  </sheetData>
  <mergeCells count="1">
    <mergeCell ref="A1:C1"/>
  </mergeCells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C8"/>
  <sheetViews>
    <sheetView workbookViewId="0">
      <selection activeCell="J13" sqref="J13"/>
    </sheetView>
  </sheetViews>
  <sheetFormatPr defaultColWidth="9.109375" defaultRowHeight="13.2" x14ac:dyDescent="0.25"/>
  <cols>
    <col min="1" max="1" width="4.5546875" style="11" customWidth="1"/>
    <col min="2" max="2" width="22.33203125" style="11" bestFit="1" customWidth="1"/>
    <col min="3" max="3" width="9.88671875" style="11" customWidth="1"/>
    <col min="4" max="16384" width="9.109375" style="11"/>
  </cols>
  <sheetData>
    <row r="1" spans="1:3" ht="15.6" x14ac:dyDescent="0.3">
      <c r="A1" s="46" t="s">
        <v>23</v>
      </c>
      <c r="B1" s="46"/>
      <c r="C1" s="47"/>
    </row>
    <row r="2" spans="1:3" ht="16.2" x14ac:dyDescent="0.35">
      <c r="B2" s="12" t="s">
        <v>0</v>
      </c>
      <c r="C2" s="12" t="s">
        <v>24</v>
      </c>
    </row>
    <row r="3" spans="1:3" ht="15.6" x14ac:dyDescent="0.3">
      <c r="A3" s="19">
        <v>1</v>
      </c>
      <c r="B3" s="13" t="s">
        <v>6</v>
      </c>
      <c r="C3" s="13">
        <v>190</v>
      </c>
    </row>
    <row r="4" spans="1:3" ht="15.6" x14ac:dyDescent="0.3">
      <c r="A4" s="19">
        <v>2</v>
      </c>
      <c r="B4" s="13" t="s">
        <v>7</v>
      </c>
      <c r="C4" s="13">
        <v>200</v>
      </c>
    </row>
    <row r="5" spans="1:3" ht="15.6" x14ac:dyDescent="0.3">
      <c r="A5" s="19">
        <v>3</v>
      </c>
      <c r="B5" s="13" t="s">
        <v>8</v>
      </c>
      <c r="C5" s="13">
        <v>180</v>
      </c>
    </row>
    <row r="6" spans="1:3" ht="15.6" x14ac:dyDescent="0.3">
      <c r="A6" s="19">
        <v>4</v>
      </c>
      <c r="B6" s="13" t="s">
        <v>9</v>
      </c>
      <c r="C6" s="13">
        <v>190</v>
      </c>
    </row>
    <row r="7" spans="1:3" ht="15.6" x14ac:dyDescent="0.3">
      <c r="A7" s="19">
        <v>5</v>
      </c>
      <c r="B7" s="13" t="s">
        <v>25</v>
      </c>
      <c r="C7" s="13">
        <v>220</v>
      </c>
    </row>
    <row r="8" spans="1:3" ht="15.6" x14ac:dyDescent="0.3">
      <c r="A8" s="19">
        <v>6</v>
      </c>
      <c r="B8" s="13" t="s">
        <v>26</v>
      </c>
      <c r="C8" s="13">
        <v>210</v>
      </c>
    </row>
  </sheetData>
  <mergeCells count="1">
    <mergeCell ref="A1:C1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I9"/>
  <sheetViews>
    <sheetView zoomScale="85" zoomScaleNormal="85" workbookViewId="0">
      <selection activeCell="H9" sqref="B9:H9"/>
    </sheetView>
  </sheetViews>
  <sheetFormatPr defaultRowHeight="13.2" x14ac:dyDescent="0.25"/>
  <cols>
    <col min="1" max="1" width="27.88671875" customWidth="1"/>
    <col min="2" max="2" width="11.88671875" customWidth="1"/>
    <col min="3" max="8" width="10.44140625" bestFit="1" customWidth="1"/>
    <col min="256" max="256" width="15" customWidth="1"/>
  </cols>
  <sheetData>
    <row r="1" spans="1:9" ht="18" x14ac:dyDescent="0.35">
      <c r="A1" s="48" t="s">
        <v>12</v>
      </c>
      <c r="B1" s="48"/>
      <c r="C1" s="48"/>
      <c r="D1" s="48"/>
      <c r="E1" s="48"/>
      <c r="F1" s="48"/>
      <c r="G1" s="48"/>
      <c r="H1" s="48"/>
    </row>
    <row r="2" spans="1:9" ht="14.4" x14ac:dyDescent="0.25">
      <c r="A2" s="14"/>
      <c r="B2" s="34" t="s">
        <v>13</v>
      </c>
      <c r="C2" s="34"/>
      <c r="D2" s="34"/>
      <c r="E2" s="34"/>
      <c r="F2" s="34"/>
      <c r="G2" s="34"/>
      <c r="H2" s="35"/>
    </row>
    <row r="3" spans="1:9" ht="14.4" x14ac:dyDescent="0.3">
      <c r="A3" s="15" t="s">
        <v>14</v>
      </c>
      <c r="B3" s="36"/>
      <c r="C3" s="36"/>
      <c r="D3" s="36"/>
      <c r="E3" s="36"/>
      <c r="F3" s="36"/>
      <c r="G3" s="36"/>
      <c r="H3" s="37"/>
      <c r="I3" s="38" t="s">
        <v>14</v>
      </c>
    </row>
    <row r="4" spans="1:9" ht="14.4" x14ac:dyDescent="0.3">
      <c r="A4" s="15"/>
      <c r="B4" s="36"/>
      <c r="C4" s="36"/>
      <c r="D4" s="36"/>
      <c r="E4" s="36"/>
      <c r="F4" s="36"/>
      <c r="G4" s="36"/>
      <c r="H4" s="37"/>
      <c r="I4" s="38" t="s">
        <v>51</v>
      </c>
    </row>
    <row r="5" spans="1:9" ht="14.4" x14ac:dyDescent="0.3">
      <c r="A5" s="15"/>
      <c r="B5" s="36"/>
      <c r="C5" s="36"/>
      <c r="D5" s="36"/>
      <c r="E5" s="36"/>
      <c r="F5" s="36"/>
      <c r="G5" s="36"/>
      <c r="H5" s="37"/>
      <c r="I5" s="38" t="s">
        <v>52</v>
      </c>
    </row>
    <row r="6" spans="1:9" ht="14.4" x14ac:dyDescent="0.3">
      <c r="A6" s="15"/>
      <c r="B6" s="36"/>
      <c r="C6" s="36"/>
      <c r="D6" s="36"/>
      <c r="E6" s="36"/>
      <c r="F6" s="36"/>
      <c r="G6" s="36"/>
      <c r="H6" s="37"/>
      <c r="I6" s="38" t="s">
        <v>53</v>
      </c>
    </row>
    <row r="7" spans="1:9" ht="14.4" x14ac:dyDescent="0.3">
      <c r="A7" s="15"/>
      <c r="B7" s="36"/>
      <c r="C7" s="36"/>
      <c r="D7" s="36"/>
      <c r="E7" s="36"/>
      <c r="F7" s="36"/>
      <c r="G7" s="36"/>
      <c r="H7" s="37"/>
      <c r="I7" s="38" t="s">
        <v>54</v>
      </c>
    </row>
    <row r="8" spans="1:9" ht="33" customHeight="1" x14ac:dyDescent="0.25">
      <c r="A8" s="16" t="s">
        <v>15</v>
      </c>
      <c r="B8" s="17"/>
      <c r="C8" s="17"/>
      <c r="D8" s="17"/>
      <c r="E8" s="17"/>
      <c r="F8" s="17"/>
      <c r="G8" s="17"/>
      <c r="H8" s="17"/>
    </row>
    <row r="9" spans="1:9" ht="41.4" x14ac:dyDescent="0.25">
      <c r="A9" s="16" t="s">
        <v>16</v>
      </c>
      <c r="B9" s="18"/>
      <c r="C9" s="18"/>
      <c r="D9" s="18"/>
      <c r="E9" s="18"/>
      <c r="F9" s="18"/>
      <c r="G9" s="18"/>
      <c r="H9" s="18"/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6</vt:i4>
      </vt:variant>
    </vt:vector>
  </HeadingPairs>
  <TitlesOfParts>
    <vt:vector size="6" baseType="lpstr">
      <vt:lpstr>Смета</vt:lpstr>
      <vt:lpstr>Процесори</vt:lpstr>
      <vt:lpstr>Пам'ять</vt:lpstr>
      <vt:lpstr>Вінчестери</vt:lpstr>
      <vt:lpstr>Монітори</vt:lpstr>
      <vt:lpstr>Завдання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Лемещук Вікторія Ігорівна</cp:lastModifiedBy>
  <dcterms:created xsi:type="dcterms:W3CDTF">1996-10-08T23:32:33Z</dcterms:created>
  <dcterms:modified xsi:type="dcterms:W3CDTF">2025-05-21T07:50:49Z</dcterms:modified>
</cp:coreProperties>
</file>